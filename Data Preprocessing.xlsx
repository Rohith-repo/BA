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ohit\Downloads\BA\"/>
    </mc:Choice>
  </mc:AlternateContent>
  <xr:revisionPtr revIDLastSave="0" documentId="13_ncr:1_{E11BC9E5-094B-4D14-95F6-A97078E6AE5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9" i="1"/>
  <c r="O4" i="1"/>
  <c r="P4" i="1"/>
  <c r="Q4" i="1"/>
  <c r="R4" i="1"/>
  <c r="O5" i="1"/>
  <c r="P5" i="1"/>
  <c r="Q5" i="1"/>
  <c r="R5" i="1"/>
  <c r="O6" i="1"/>
  <c r="P6" i="1"/>
  <c r="Q6" i="1"/>
  <c r="R6" i="1"/>
  <c r="O7" i="1"/>
  <c r="P7" i="1"/>
  <c r="Q7" i="1"/>
  <c r="R7" i="1"/>
  <c r="O8" i="1"/>
  <c r="P8" i="1"/>
  <c r="Q8" i="1"/>
  <c r="R8" i="1"/>
  <c r="O9" i="1"/>
  <c r="P9" i="1"/>
  <c r="Q9" i="1"/>
  <c r="R9" i="1"/>
  <c r="O10" i="1"/>
  <c r="P10" i="1"/>
  <c r="Q10" i="1"/>
  <c r="R10" i="1"/>
  <c r="O11" i="1"/>
  <c r="P11" i="1"/>
  <c r="Q11" i="1"/>
  <c r="R11" i="1"/>
  <c r="O12" i="1"/>
  <c r="P12" i="1"/>
  <c r="Q12" i="1"/>
  <c r="R12" i="1"/>
  <c r="O13" i="1"/>
  <c r="P13" i="1"/>
  <c r="Q13" i="1"/>
  <c r="R13" i="1"/>
  <c r="O14" i="1"/>
  <c r="P14" i="1"/>
  <c r="Q14" i="1"/>
  <c r="R14" i="1"/>
  <c r="O15" i="1"/>
  <c r="P15" i="1"/>
  <c r="Q15" i="1"/>
  <c r="R15" i="1"/>
  <c r="O16" i="1"/>
  <c r="P16" i="1"/>
  <c r="Q16" i="1"/>
  <c r="R16" i="1"/>
  <c r="O17" i="1"/>
  <c r="P17" i="1"/>
  <c r="Q17" i="1"/>
  <c r="R17" i="1"/>
  <c r="O18" i="1"/>
  <c r="P18" i="1"/>
  <c r="Q18" i="1"/>
  <c r="R18" i="1"/>
  <c r="J4" i="1"/>
  <c r="K4" i="1"/>
  <c r="J5" i="1"/>
  <c r="K5" i="1"/>
  <c r="J6" i="1"/>
  <c r="K6" i="1"/>
</calcChain>
</file>

<file path=xl/sharedStrings.xml><?xml version="1.0" encoding="utf-8"?>
<sst xmlns="http://schemas.openxmlformats.org/spreadsheetml/2006/main" count="30" uniqueCount="15">
  <si>
    <t>ID</t>
  </si>
  <si>
    <t>Age</t>
  </si>
  <si>
    <t>Salary</t>
  </si>
  <si>
    <t>Department</t>
  </si>
  <si>
    <t>Admin</t>
  </si>
  <si>
    <t>HR</t>
  </si>
  <si>
    <t>Finance</t>
  </si>
  <si>
    <t>IT</t>
  </si>
  <si>
    <t>Column</t>
  </si>
  <si>
    <t>Missing Count</t>
  </si>
  <si>
    <t>Missing %</t>
  </si>
  <si>
    <t>CLEANED DATA</t>
  </si>
  <si>
    <t>RAW DATA</t>
  </si>
  <si>
    <t>Normalization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</si>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</sst>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8"/>
  <sheetViews>
    <sheetView tabSelected="1" zoomScale="87" workbookViewId="0">
      <selection activeCell="I9" sqref="I9"/>
    </sheetView>
  </sheetViews>
  <sheetFormatPr defaultRowHeight="14.4" x14ac:dyDescent="0.3"/>
  <cols>
    <col min="9" max="9" width="13.6640625" customWidth="1"/>
    <col min="10" max="10" width="20.109375" customWidth="1"/>
    <col min="11" max="11" width="14.109375" customWidth="1"/>
  </cols>
  <sheetData>
    <row r="2" spans="1:18" x14ac:dyDescent="0.3">
      <c r="A2" s="1" t="s">
        <v>12</v>
      </c>
      <c r="O2" s="1" t="s">
        <v>11</v>
      </c>
    </row>
    <row r="3" spans="1:18" x14ac:dyDescent="0.3">
      <c r="A3" s="1" t="s">
        <v>0</v>
      </c>
      <c r="B3" s="1" t="s">
        <v>1</v>
      </c>
      <c r="C3" s="1" t="s">
        <v>2</v>
      </c>
      <c r="D3" s="1" t="s">
        <v>3</v>
      </c>
      <c r="I3" s="1" t="s">
        <v>8</v>
      </c>
      <c r="J3" s="1" t="s">
        <v>9</v>
      </c>
      <c r="K3" s="1" t="s">
        <v>10</v>
      </c>
      <c r="O3" s="1" t="s">
        <v>0</v>
      </c>
      <c r="P3" s="1" t="s">
        <v>1</v>
      </c>
      <c r="Q3" s="1" t="s">
        <v>2</v>
      </c>
      <c r="R3" s="1" t="s">
        <v>3</v>
      </c>
    </row>
    <row r="4" spans="1:18" x14ac:dyDescent="0.3">
      <c r="A4">
        <v>1</v>
      </c>
      <c r="C4">
        <v>70056</v>
      </c>
      <c r="D4" t="s">
        <v>4</v>
      </c>
      <c r="I4" t="s">
        <v>1</v>
      </c>
      <c r="J4">
        <f>COUNTBLANK('Sheet 1'!B4:B18)</f>
        <v>8</v>
      </c>
      <c r="K4">
        <f>COUNTBLANK('Sheet 1'!B4:B18)/COUNTA('Sheet 1'!B4:B18)</f>
        <v>1.1428571428571428</v>
      </c>
      <c r="O4">
        <f>'Sheet 1'!A4</f>
        <v>1</v>
      </c>
      <c r="P4">
        <f>IF('Sheet 1'!B4="", AVERAGE('Sheet 1'!B4:B18), 'Sheet 1'!B4)</f>
        <v>43.571428571428569</v>
      </c>
      <c r="Q4">
        <f>IF('Sheet 1'!C4="", AVERAGE('Sheet 1'!C4:C18), 'Sheet 1'!C4)</f>
        <v>70056</v>
      </c>
      <c r="R4" t="str">
        <f>IF('Sheet 1'!D4="", "Unknown", 'Sheet 1'!D4)</f>
        <v>Admin</v>
      </c>
    </row>
    <row r="5" spans="1:18" x14ac:dyDescent="0.3">
      <c r="A5">
        <v>2</v>
      </c>
      <c r="C5">
        <v>71824</v>
      </c>
      <c r="D5" t="s">
        <v>4</v>
      </c>
      <c r="I5" t="s">
        <v>2</v>
      </c>
      <c r="J5">
        <f>COUNTBLANK('Sheet 1'!C4:C18)</f>
        <v>4</v>
      </c>
      <c r="K5">
        <f>COUNTBLANK('Sheet 1'!C4:C18)/COUNTA('Sheet 1'!C4:C18)</f>
        <v>0.36363636363636365</v>
      </c>
      <c r="O5">
        <f>'Sheet 1'!A5</f>
        <v>2</v>
      </c>
      <c r="P5">
        <f>IF('Sheet 1'!B5="", AVERAGE('Sheet 1'!B4:B18), 'Sheet 1'!B5)</f>
        <v>43.571428571428569</v>
      </c>
      <c r="Q5">
        <f>IF('Sheet 1'!C5="", AVERAGE('Sheet 1'!C4:C18), 'Sheet 1'!C5)</f>
        <v>71824</v>
      </c>
      <c r="R5" t="str">
        <f>IF('Sheet 1'!D5="", "Unknown", 'Sheet 1'!D5)</f>
        <v>Admin</v>
      </c>
    </row>
    <row r="6" spans="1:18" x14ac:dyDescent="0.3">
      <c r="A6">
        <v>3</v>
      </c>
      <c r="B6">
        <v>48</v>
      </c>
      <c r="D6" t="s">
        <v>4</v>
      </c>
      <c r="I6" t="s">
        <v>3</v>
      </c>
      <c r="J6">
        <f>COUNTBLANK('Sheet 1'!D4:D18)</f>
        <v>3</v>
      </c>
      <c r="K6">
        <f>COUNTBLANK('Sheet 1'!D4:D18)/COUNTA('Sheet 1'!D4:D18)</f>
        <v>0.25</v>
      </c>
      <c r="O6">
        <f>'Sheet 1'!A6</f>
        <v>3</v>
      </c>
      <c r="P6">
        <f>IF('Sheet 1'!B6="", AVERAGE('Sheet 1'!B4:B18), 'Sheet 1'!B6)</f>
        <v>48</v>
      </c>
      <c r="Q6">
        <f>IF('Sheet 1'!C6="", AVERAGE('Sheet 1'!C4:C18), 'Sheet 1'!C6)</f>
        <v>51835</v>
      </c>
      <c r="R6" t="str">
        <f>IF('Sheet 1'!D6="", "Unknown", 'Sheet 1'!D6)</f>
        <v>Admin</v>
      </c>
    </row>
    <row r="7" spans="1:18" x14ac:dyDescent="0.3">
      <c r="A7">
        <v>4</v>
      </c>
      <c r="B7">
        <v>29</v>
      </c>
      <c r="C7">
        <v>34514</v>
      </c>
      <c r="D7" t="s">
        <v>5</v>
      </c>
      <c r="O7">
        <f>'Sheet 1'!A7</f>
        <v>4</v>
      </c>
      <c r="P7">
        <f>IF('Sheet 1'!B7="", AVERAGE('Sheet 1'!B4:B18), 'Sheet 1'!B7)</f>
        <v>29</v>
      </c>
      <c r="Q7">
        <f>IF('Sheet 1'!C7="", AVERAGE('Sheet 1'!C4:C18), 'Sheet 1'!C7)</f>
        <v>34514</v>
      </c>
      <c r="R7" t="str">
        <f>IF('Sheet 1'!D7="", "Unknown", 'Sheet 1'!D7)</f>
        <v>HR</v>
      </c>
    </row>
    <row r="8" spans="1:18" x14ac:dyDescent="0.3">
      <c r="A8">
        <v>5</v>
      </c>
      <c r="D8" t="s">
        <v>4</v>
      </c>
      <c r="O8">
        <f>'Sheet 1'!A8</f>
        <v>5</v>
      </c>
      <c r="P8">
        <f>IF('Sheet 1'!B8="", AVERAGE('Sheet 1'!B4:B18), 'Sheet 1'!B8)</f>
        <v>43.571428571428569</v>
      </c>
      <c r="Q8">
        <f>IF('Sheet 1'!C8="", AVERAGE('Sheet 1'!C4:C18), 'Sheet 1'!C8)</f>
        <v>51835</v>
      </c>
      <c r="R8" t="str">
        <f>IF('Sheet 1'!D8="", "Unknown", 'Sheet 1'!D8)</f>
        <v>Admin</v>
      </c>
    </row>
    <row r="9" spans="1:18" x14ac:dyDescent="0.3">
      <c r="A9">
        <v>6</v>
      </c>
      <c r="B9">
        <v>51</v>
      </c>
      <c r="D9" t="s">
        <v>5</v>
      </c>
      <c r="I9" s="1" t="s">
        <v>13</v>
      </c>
      <c r="J9">
        <f>(C1 - MIN($C$1:$C$19)) / (MAX($C$1:$C$19) - MIN($C$1:$C$19))</f>
        <v>-0.44340836012861734</v>
      </c>
      <c r="O9">
        <f>'Sheet 1'!A9</f>
        <v>6</v>
      </c>
      <c r="P9">
        <f>IF('Sheet 1'!B9="", AVERAGE('Sheet 1'!B4:B18), 'Sheet 1'!B9)</f>
        <v>51</v>
      </c>
      <c r="Q9">
        <f>IF('Sheet 1'!C9="", AVERAGE('Sheet 1'!C4:C18), 'Sheet 1'!C9)</f>
        <v>51835</v>
      </c>
      <c r="R9" t="str">
        <f>IF('Sheet 1'!D9="", "Unknown", 'Sheet 1'!D9)</f>
        <v>HR</v>
      </c>
    </row>
    <row r="10" spans="1:18" x14ac:dyDescent="0.3">
      <c r="A10">
        <v>7</v>
      </c>
      <c r="C10">
        <v>51047</v>
      </c>
      <c r="I10" s="1" t="s">
        <v>14</v>
      </c>
      <c r="J10">
        <f>(A1 - AVERAGE($C$1:$C$20)) / STDEV($C$1:$C$20)</f>
        <v>-2.7698446107825214</v>
      </c>
      <c r="O10">
        <f>'Sheet 1'!A10</f>
        <v>7</v>
      </c>
      <c r="P10">
        <f>IF('Sheet 1'!B10="", AVERAGE('Sheet 1'!B4:B18), 'Sheet 1'!B10)</f>
        <v>43.571428571428569</v>
      </c>
      <c r="Q10">
        <f>IF('Sheet 1'!C10="", AVERAGE('Sheet 1'!C4:C18), 'Sheet 1'!C10)</f>
        <v>51047</v>
      </c>
      <c r="R10" t="str">
        <f>IF('Sheet 1'!D10="", "Unknown", 'Sheet 1'!D10)</f>
        <v>Unknown</v>
      </c>
    </row>
    <row r="11" spans="1:18" x14ac:dyDescent="0.3">
      <c r="A11">
        <v>8</v>
      </c>
      <c r="B11">
        <v>52</v>
      </c>
      <c r="C11">
        <v>55569</v>
      </c>
      <c r="D11" t="s">
        <v>5</v>
      </c>
      <c r="O11">
        <f>'Sheet 1'!A11</f>
        <v>8</v>
      </c>
      <c r="P11">
        <f>IF('Sheet 1'!B11="", AVERAGE('Sheet 1'!B4:B18), 'Sheet 1'!B11)</f>
        <v>52</v>
      </c>
      <c r="Q11">
        <f>IF('Sheet 1'!C11="", AVERAGE('Sheet 1'!C4:C18), 'Sheet 1'!C11)</f>
        <v>55569</v>
      </c>
      <c r="R11" t="str">
        <f>IF('Sheet 1'!D11="", "Unknown", 'Sheet 1'!D11)</f>
        <v>HR</v>
      </c>
    </row>
    <row r="12" spans="1:18" x14ac:dyDescent="0.3">
      <c r="A12">
        <v>9</v>
      </c>
      <c r="B12">
        <v>26</v>
      </c>
      <c r="C12">
        <v>67988</v>
      </c>
      <c r="O12">
        <f>'Sheet 1'!A12</f>
        <v>9</v>
      </c>
      <c r="P12">
        <f>IF('Sheet 1'!B12="", AVERAGE('Sheet 1'!B4:B18), 'Sheet 1'!B12)</f>
        <v>26</v>
      </c>
      <c r="Q12">
        <f>IF('Sheet 1'!C12="", AVERAGE('Sheet 1'!C4:C18), 'Sheet 1'!C12)</f>
        <v>67988</v>
      </c>
      <c r="R12" t="str">
        <f>IF('Sheet 1'!D12="", "Unknown", 'Sheet 1'!D12)</f>
        <v>Unknown</v>
      </c>
    </row>
    <row r="13" spans="1:18" x14ac:dyDescent="0.3">
      <c r="A13">
        <v>10</v>
      </c>
      <c r="B13">
        <v>48</v>
      </c>
      <c r="C13">
        <v>22064</v>
      </c>
      <c r="D13" t="s">
        <v>4</v>
      </c>
      <c r="O13">
        <f>'Sheet 1'!A13</f>
        <v>10</v>
      </c>
      <c r="P13">
        <f>IF('Sheet 1'!B13="", AVERAGE('Sheet 1'!B4:B18), 'Sheet 1'!B13)</f>
        <v>48</v>
      </c>
      <c r="Q13">
        <f>IF('Sheet 1'!C13="", AVERAGE('Sheet 1'!C4:C18), 'Sheet 1'!C13)</f>
        <v>22064</v>
      </c>
      <c r="R13" t="str">
        <f>IF('Sheet 1'!D13="", "Unknown", 'Sheet 1'!D13)</f>
        <v>Admin</v>
      </c>
    </row>
    <row r="14" spans="1:18" x14ac:dyDescent="0.3">
      <c r="A14">
        <v>11</v>
      </c>
      <c r="C14">
        <v>71347</v>
      </c>
      <c r="D14" t="s">
        <v>4</v>
      </c>
      <c r="O14">
        <f>'Sheet 1'!A14</f>
        <v>11</v>
      </c>
      <c r="P14">
        <f>IF('Sheet 1'!B14="", AVERAGE('Sheet 1'!B4:B18), 'Sheet 1'!B14)</f>
        <v>43.571428571428569</v>
      </c>
      <c r="Q14">
        <f>IF('Sheet 1'!C14="", AVERAGE('Sheet 1'!C4:C18), 'Sheet 1'!C14)</f>
        <v>71347</v>
      </c>
      <c r="R14" t="str">
        <f>IF('Sheet 1'!D14="", "Unknown", 'Sheet 1'!D14)</f>
        <v>Admin</v>
      </c>
    </row>
    <row r="15" spans="1:18" x14ac:dyDescent="0.3">
      <c r="A15">
        <v>12</v>
      </c>
      <c r="B15">
        <v>51</v>
      </c>
      <c r="D15" t="s">
        <v>6</v>
      </c>
      <c r="O15">
        <f>'Sheet 1'!A15</f>
        <v>12</v>
      </c>
      <c r="P15">
        <f>IF('Sheet 1'!B15="", AVERAGE('Sheet 1'!B4:B18), 'Sheet 1'!B15)</f>
        <v>51</v>
      </c>
      <c r="Q15">
        <f>IF('Sheet 1'!C15="", AVERAGE('Sheet 1'!C4:C18), 'Sheet 1'!C15)</f>
        <v>51835</v>
      </c>
      <c r="R15" t="str">
        <f>IF('Sheet 1'!D15="", "Unknown", 'Sheet 1'!D15)</f>
        <v>Finance</v>
      </c>
    </row>
    <row r="16" spans="1:18" x14ac:dyDescent="0.3">
      <c r="A16">
        <v>13</v>
      </c>
      <c r="C16">
        <v>58294</v>
      </c>
      <c r="D16" t="s">
        <v>7</v>
      </c>
      <c r="O16">
        <f>'Sheet 1'!A16</f>
        <v>13</v>
      </c>
      <c r="P16">
        <f>IF('Sheet 1'!B16="", AVERAGE('Sheet 1'!B4:B18), 'Sheet 1'!B16)</f>
        <v>43.571428571428569</v>
      </c>
      <c r="Q16">
        <f>IF('Sheet 1'!C16="", AVERAGE('Sheet 1'!C4:C18), 'Sheet 1'!C16)</f>
        <v>58294</v>
      </c>
      <c r="R16" t="str">
        <f>IF('Sheet 1'!D16="", "Unknown", 'Sheet 1'!D16)</f>
        <v>IT</v>
      </c>
    </row>
    <row r="17" spans="1:18" x14ac:dyDescent="0.3">
      <c r="A17">
        <v>14</v>
      </c>
      <c r="C17">
        <v>44501</v>
      </c>
      <c r="D17" t="s">
        <v>6</v>
      </c>
      <c r="O17">
        <f>'Sheet 1'!A17</f>
        <v>14</v>
      </c>
      <c r="P17">
        <f>IF('Sheet 1'!B17="", AVERAGE('Sheet 1'!B4:B18), 'Sheet 1'!B17)</f>
        <v>43.571428571428569</v>
      </c>
      <c r="Q17">
        <f>IF('Sheet 1'!C17="", AVERAGE('Sheet 1'!C4:C18), 'Sheet 1'!C17)</f>
        <v>44501</v>
      </c>
      <c r="R17" t="str">
        <f>IF('Sheet 1'!D17="", "Unknown", 'Sheet 1'!D17)</f>
        <v>Finance</v>
      </c>
    </row>
    <row r="18" spans="1:18" x14ac:dyDescent="0.3">
      <c r="A18">
        <v>15</v>
      </c>
      <c r="C18">
        <v>22981</v>
      </c>
      <c r="O18">
        <f>'Sheet 1'!A18</f>
        <v>15</v>
      </c>
      <c r="P18">
        <f>IF('Sheet 1'!B18="", AVERAGE('Sheet 1'!B4:B18), 'Sheet 1'!B18)</f>
        <v>43.571428571428569</v>
      </c>
      <c r="Q18">
        <f>IF('Sheet 1'!C18="", AVERAGE('Sheet 1'!C4:C18), 'Sheet 1'!C18)</f>
        <v>22981</v>
      </c>
      <c r="R18" t="str">
        <f>IF('Sheet 1'!D18="", "Unknown", 'Sheet 1'!D18)</f>
        <v>Unknown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B</cp:lastModifiedBy>
  <dcterms:created xsi:type="dcterms:W3CDTF">2025-11-17T14:34:53Z</dcterms:created>
  <dcterms:modified xsi:type="dcterms:W3CDTF">2025-11-17T15:24:47Z</dcterms:modified>
</cp:coreProperties>
</file>